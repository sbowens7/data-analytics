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quanbowens\DataAnalytics\week-01\"/>
    </mc:Choice>
  </mc:AlternateContent>
  <xr:revisionPtr revIDLastSave="0" documentId="13_ncr:1_{2DAF2F31-7256-47A1-819F-8ED00E5C98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O10" i="1"/>
  <c r="P10" i="1"/>
  <c r="J10" i="1"/>
  <c r="I10" i="1"/>
  <c r="D10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<sst xmlns="http://schemas.openxmlformats.org/spreadsheetml/2006/main" count="84" uniqueCount="60">
  <si>
    <t>ID</t>
  </si>
  <si>
    <t>Start time</t>
  </si>
  <si>
    <t>Completion time</t>
  </si>
  <si>
    <t>Email</t>
  </si>
  <si>
    <t>Name</t>
  </si>
  <si>
    <t>Last modified time</t>
  </si>
  <si>
    <t>How often do you visit our restaurant?</t>
  </si>
  <si>
    <t>How would you rate the quality of the chicken?</t>
  </si>
  <si>
    <t>How would you rate our staff hospitality?</t>
  </si>
  <si>
    <t>Statement 1</t>
  </si>
  <si>
    <t>Statement 12</t>
  </si>
  <si>
    <t>What is you favorite item?</t>
  </si>
  <si>
    <t>What would items could we add add?</t>
  </si>
  <si>
    <t>Would adding a rewards system bring you back more?</t>
  </si>
  <si>
    <t>How likely are you to recommend us to a friend or colleague?</t>
  </si>
  <si>
    <t>ccelik@my.yearupunited.org</t>
  </si>
  <si>
    <t>cagla celik</t>
  </si>
  <si>
    <t>A couple times a week</t>
  </si>
  <si>
    <t>15 minutes</t>
  </si>
  <si>
    <t>Neither Agree nor Disagree</t>
  </si>
  <si>
    <t>Desserts</t>
  </si>
  <si>
    <t>Gluten free options</t>
  </si>
  <si>
    <t>Yes</t>
  </si>
  <si>
    <t>ssimsek@my.yearupunited.org</t>
  </si>
  <si>
    <t>sultan simsek</t>
  </si>
  <si>
    <t>Once every few months</t>
  </si>
  <si>
    <t>Chuck special</t>
  </si>
  <si>
    <t>kmarsh1@my.yearupunited.org</t>
  </si>
  <si>
    <t>kiersten marsh</t>
  </si>
  <si>
    <t>A couple times a month</t>
  </si>
  <si>
    <t>Agree</t>
  </si>
  <si>
    <t>the chicken</t>
  </si>
  <si>
    <t>more chicken</t>
  </si>
  <si>
    <t>lpham1@my.yearupunited.org</t>
  </si>
  <si>
    <t>longley pham</t>
  </si>
  <si>
    <t>Daily</t>
  </si>
  <si>
    <t>tarista@my.yearupunited.org</t>
  </si>
  <si>
    <t>tracy arista</t>
  </si>
  <si>
    <t>25 minutes</t>
  </si>
  <si>
    <t>spicy as cluck</t>
  </si>
  <si>
    <t>more ice cream flavors</t>
  </si>
  <si>
    <t>mruiz3@my.yearupunited.org</t>
  </si>
  <si>
    <t>maritza ruiz</t>
  </si>
  <si>
    <t>First Time</t>
  </si>
  <si>
    <t>Popcorn Chicken</t>
  </si>
  <si>
    <t>Cajun Fries</t>
  </si>
  <si>
    <t>jnavarroservin@my.yearupunited.org</t>
  </si>
  <si>
    <t>jessica navarroservin</t>
  </si>
  <si>
    <t>20 minutes </t>
  </si>
  <si>
    <t>Disagree</t>
  </si>
  <si>
    <t>valentina</t>
  </si>
  <si>
    <t>asago@my.yearupunited.org</t>
  </si>
  <si>
    <t>antwaushea sago</t>
  </si>
  <si>
    <t>Buffalo wings</t>
  </si>
  <si>
    <t>Milkshakes</t>
  </si>
  <si>
    <t>Time to complete</t>
  </si>
  <si>
    <t>Sum of How would you rate the quality of the chicken?</t>
  </si>
  <si>
    <t>Sum of How would you rate our staff hospitality?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</si>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</sst>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:mm:ss"/>
    </dxf>
    <dxf>
      <numFmt numFmtId="166" formatCode="mm/dd/yyyy\ h:mm:ss"/>
    </dxf>
    <dxf>
      <numFmt numFmtId="0" formatCode="General"/>
    </dxf>
    <dxf>
      <numFmt numFmtId="28" formatCode="mm:ss"/>
    </dxf>
    <dxf>
      <numFmt numFmtId="0" formatCode="General"/>
    </dxf>
    <dxf>
      <numFmt numFmtId="166" formatCode="mm/dd/yyyy\ h:mm:ss"/>
    </dxf>
    <dxf>
      <numFmt numFmtId="166" formatCode="mm/dd/yy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[Cluckn' Chuck's Check In(1-8).xlsx]Sheet2!PivotTable1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361362020382898E-2"/>
          <c:y val="0.16564596092155148"/>
          <c:w val="0.53641294838145237"/>
          <c:h val="0.75010279965004378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How would you rate the quality of the chicken?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Sheet2!$A$4:$A$9</c:f>
              <c:strCache>
                <c:ptCount val="5"/>
                <c:pt idx="0">
                  <c:v>A couple times a month</c:v>
                </c:pt>
                <c:pt idx="1">
                  <c:v>A couple times a week</c:v>
                </c:pt>
                <c:pt idx="2">
                  <c:v>Daily</c:v>
                </c:pt>
                <c:pt idx="3">
                  <c:v>First Time</c:v>
                </c:pt>
                <c:pt idx="4">
                  <c:v>Once every few months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14</c:v>
                </c:pt>
                <c:pt idx="1">
                  <c:v>4</c:v>
                </c:pt>
                <c:pt idx="2">
                  <c:v>5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87-46CD-AC32-8CCE17F0AF8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How would you rate our staff hospitality?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Sheet2!$A$4:$A$9</c:f>
              <c:strCache>
                <c:ptCount val="5"/>
                <c:pt idx="0">
                  <c:v>A couple times a month</c:v>
                </c:pt>
                <c:pt idx="1">
                  <c:v>A couple times a week</c:v>
                </c:pt>
                <c:pt idx="2">
                  <c:v>Daily</c:v>
                </c:pt>
                <c:pt idx="3">
                  <c:v>First Time</c:v>
                </c:pt>
                <c:pt idx="4">
                  <c:v>Once every few months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15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87-46CD-AC32-8CCE17F0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5007"/>
        <c:axId val="14473167"/>
      </c:lineChart>
      <c:catAx>
        <c:axId val="1446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167"/>
        <c:crosses val="autoZero"/>
        <c:auto val="1"/>
        <c:lblAlgn val="ctr"/>
        <c:lblOffset val="100"/>
        <c:noMultiLvlLbl val="0"/>
      </c:catAx>
      <c:valAx>
        <c:axId val="1447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79735849652063"/>
          <c:y val="0.59252296587926512"/>
          <c:w val="0.3311224811828381"/>
          <c:h val="0.3242129629629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2575560</xdr:colOff>
      <xdr:row>11</xdr:row>
      <xdr:rowOff>22860</xdr:rowOff>
    </xdr:from>
    <xdr:to>
      <xdr:col>9</xdr:col>
      <xdr:colOff>289560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F4FDA-6184-B506-74A6-3ECDF403B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quan bowens" refreshedDate="46125.43911979167" createdVersion="8" refreshedVersion="8" minRefreshableVersion="3" recordCount="8" xr:uid="{36EA045A-65B3-416D-8E6D-0D76B9B2B717}">
  <cacheSource type="worksheet">
    <worksheetSource name="Table1"/>
  </cacheSource>
  <cacheFields count="16">
    <cacheField name="ID" numFmtId="0">
      <sharedItems containsSemiMixedTypes="0" containsString="0" containsNumber="1" containsInteger="1" minValue="1" maxValue="8"/>
    </cacheField>
    <cacheField name="Start time" numFmtId="166">
      <sharedItems containsSemiMixedTypes="0" containsNonDate="0" containsDate="1" containsString="0" minDate="2026-04-09T13:58:03" maxDate="2026-04-12T17:59:43"/>
    </cacheField>
    <cacheField name="Completion time" numFmtId="166">
      <sharedItems containsSemiMixedTypes="0" containsNonDate="0" containsDate="1" containsString="0" minDate="2026-04-09T13:59:07" maxDate="2026-04-12T18:00:55"/>
    </cacheField>
    <cacheField name="Time to complete" numFmtId="45">
      <sharedItems containsSemiMixedTypes="0" containsNonDate="0" containsDate="1" containsString="0" minDate="1899-12-30T00:00:25" maxDate="1899-12-30T00:26:15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often do you visit our restaurant?" numFmtId="0">
      <sharedItems count="5">
        <s v="A couple times a week"/>
        <s v="Once every few months"/>
        <s v="A couple times a month"/>
        <s v="Daily"/>
        <s v="First Time"/>
      </sharedItems>
    </cacheField>
    <cacheField name="How would you rate the quality of the chicken?" numFmtId="0">
      <sharedItems containsSemiMixedTypes="0" containsString="0" containsNumber="1" containsInteger="1" minValue="4" maxValue="5" count="2">
        <n v="4"/>
        <n v="5"/>
      </sharedItems>
    </cacheField>
    <cacheField name="How would you rate our staff hospitality?" numFmtId="0">
      <sharedItems containsSemiMixedTypes="0" containsString="0" containsNumber="1" containsInteger="1" minValue="2" maxValue="5" count="3">
        <n v="3"/>
        <n v="5"/>
        <n v="2"/>
      </sharedItems>
    </cacheField>
    <cacheField name="Statement 1" numFmtId="0">
      <sharedItems/>
    </cacheField>
    <cacheField name="Statement 12" numFmtId="0">
      <sharedItems containsBlank="1"/>
    </cacheField>
    <cacheField name="What is you favorite item?" numFmtId="0">
      <sharedItems containsBlank="1"/>
    </cacheField>
    <cacheField name="What would items could we add add?" numFmtId="0">
      <sharedItems containsBlank="1" count="7">
        <s v="Gluten free options"/>
        <m/>
        <s v="more chicken"/>
        <s v="more ice cream flavors"/>
        <s v="Cajun Fries"/>
        <s v="valentina"/>
        <s v="Milkshakes"/>
      </sharedItems>
    </cacheField>
    <cacheField name="Would adding a rewards system bring you back more?" numFmtId="0">
      <sharedItems/>
    </cacheField>
    <cacheField name="How likely are you to recommend us to a friend or colleague?" numFmtId="0">
      <sharedItems containsString="0" containsBlank="1" containsNumber="1" containsInteg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4-09T13:58:03"/>
    <d v="2026-04-09T13:59:07"/>
    <d v="1899-12-30T00:01:04"/>
    <s v="ccelik@my.yearupunited.org"/>
    <s v="cagla celik"/>
    <m/>
    <x v="0"/>
    <x v="0"/>
    <x v="0"/>
    <s v="15 minutes"/>
    <s v="Neither Agree nor Disagree"/>
    <s v="Desserts"/>
    <x v="0"/>
    <s v="Yes"/>
    <n v="6"/>
  </r>
  <r>
    <n v="2"/>
    <d v="2026-04-09T14:00:24"/>
    <d v="2026-04-09T14:01:41"/>
    <d v="1899-12-30T00:01:17"/>
    <s v="ssimsek@my.yearupunited.org"/>
    <s v="sultan simsek"/>
    <m/>
    <x v="1"/>
    <x v="0"/>
    <x v="1"/>
    <s v="15 minutes"/>
    <m/>
    <s v="Chuck special"/>
    <x v="1"/>
    <s v="Yes"/>
    <n v="8"/>
  </r>
  <r>
    <n v="3"/>
    <d v="2026-04-09T14:01:03"/>
    <d v="2026-04-09T14:27:18"/>
    <d v="1899-12-30T00:26:15"/>
    <s v="kmarsh1@my.yearupunited.org"/>
    <s v="kiersten marsh"/>
    <m/>
    <x v="2"/>
    <x v="1"/>
    <x v="1"/>
    <s v="15 minutes"/>
    <s v="Agree"/>
    <s v="the chicken"/>
    <x v="2"/>
    <s v="Yes"/>
    <n v="10"/>
  </r>
  <r>
    <n v="4"/>
    <d v="2026-04-09T14:28:05"/>
    <d v="2026-04-09T14:28:34"/>
    <d v="1899-12-30T00:00:29"/>
    <s v="lpham1@my.yearupunited.org"/>
    <s v="longley pham"/>
    <m/>
    <x v="3"/>
    <x v="1"/>
    <x v="2"/>
    <s v="15 minutes"/>
    <s v="Agree"/>
    <m/>
    <x v="1"/>
    <s v="Yes"/>
    <m/>
  </r>
  <r>
    <n v="5"/>
    <d v="2026-04-09T15:23:27"/>
    <d v="2026-04-09T15:28:06"/>
    <d v="1899-12-30T00:04:39"/>
    <s v="tarista@my.yearupunited.org"/>
    <s v="tracy arista"/>
    <m/>
    <x v="2"/>
    <x v="1"/>
    <x v="1"/>
    <s v="25 minutes"/>
    <s v="Agree"/>
    <s v="spicy as cluck"/>
    <x v="3"/>
    <s v="Yes"/>
    <n v="8"/>
  </r>
  <r>
    <n v="6"/>
    <d v="2026-04-09T17:22:35"/>
    <d v="2026-04-09T17:28:15"/>
    <d v="1899-12-30T00:05:40"/>
    <s v="mruiz3@my.yearupunited.org"/>
    <s v="maritza ruiz"/>
    <m/>
    <x v="4"/>
    <x v="0"/>
    <x v="1"/>
    <s v="25 minutes"/>
    <s v="Neither Agree nor Disagree"/>
    <s v="Popcorn Chicken"/>
    <x v="4"/>
    <s v="Yes"/>
    <n v="7"/>
  </r>
  <r>
    <n v="7"/>
    <d v="2026-04-12T13:24:44"/>
    <d v="2026-04-12T13:25:09"/>
    <d v="1899-12-30T00:00:25"/>
    <s v="jnavarroservin@my.yearupunited.org"/>
    <s v="jessica navarroservin"/>
    <m/>
    <x v="4"/>
    <x v="1"/>
    <x v="1"/>
    <s v="20 minutes "/>
    <s v="Disagree"/>
    <m/>
    <x v="5"/>
    <s v="Yes"/>
    <n v="6"/>
  </r>
  <r>
    <n v="8"/>
    <d v="2026-04-12T17:59:43"/>
    <d v="2026-04-12T18:00:55"/>
    <d v="1899-12-30T00:01:12"/>
    <s v="asago@my.yearupunited.org"/>
    <s v="antwaushea sago"/>
    <m/>
    <x v="2"/>
    <x v="0"/>
    <x v="1"/>
    <s v="15 minutes"/>
    <s v="Agree"/>
    <s v="Buffalo wings"/>
    <x v="6"/>
    <s v="Yes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72A7C-9E20-4B9B-B591-F8F20C60C04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9" firstHeaderRow="0" firstDataRow="1" firstDataCol="1"/>
  <pivotFields count="16">
    <pivotField showAll="0"/>
    <pivotField numFmtId="166" showAll="0"/>
    <pivotField numFmtId="166" showAll="0"/>
    <pivotField numFmtId="45"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8">
        <item x="4"/>
        <item x="0"/>
        <item x="6"/>
        <item x="2"/>
        <item x="3"/>
        <item x="5"/>
        <item x="1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w would you rate the quality of the chicken?" fld="8" baseField="0" baseItem="0"/>
    <dataField name="Sum of How would you rate our staff hospitality?" fld="9" baseField="0" baseItem="0"/>
  </dataField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" totalsRowCount="1">
  <autoFilter ref="A1:P9" xr:uid="{00000000-0009-0000-0100-000001000000}"/>
  <tableColumns count="16">
    <tableColumn id="1" xr3:uid="{00000000-0010-0000-0000-000001000000}" name="ID" dataDxfId="20" totalsRowDxfId="15"/>
    <tableColumn id="2" xr3:uid="{00000000-0010-0000-0000-000002000000}" name="Start time" dataDxfId="19" totalsRowDxfId="14"/>
    <tableColumn id="3" xr3:uid="{00000000-0010-0000-0000-000003000000}" name="Completion time" dataDxfId="18" totalsRowDxfId="13"/>
    <tableColumn id="16" xr3:uid="{65B953EC-DF68-4AD4-AB4B-E105C2BFC00B}" name="Time to complete" totalsRowFunction="custom" dataDxfId="16" totalsRowDxfId="12">
      <calculatedColumnFormula>C2-B2</calculatedColumnFormula>
      <totalsRowFormula>AVERAGE(D2:D9)</totalsRowFormula>
    </tableColumn>
    <tableColumn id="4" xr3:uid="{00000000-0010-0000-0000-000004000000}" name="Email" dataDxfId="17" totalsRowDxfId="11"/>
    <tableColumn id="5" xr3:uid="{00000000-0010-0000-0000-000005000000}" name="Name" dataDxfId="31" totalsRowDxfId="10"/>
    <tableColumn id="6" xr3:uid="{00000000-0010-0000-0000-000006000000}" name="Last modified time" dataDxfId="30" totalsRowDxfId="9"/>
    <tableColumn id="7" xr3:uid="{00000000-0010-0000-0000-000007000000}" name="How often do you visit our restaurant?" dataDxfId="29" totalsRowDxfId="8"/>
    <tableColumn id="8" xr3:uid="{00000000-0010-0000-0000-000008000000}" name="How would you rate the quality of the chicken?" totalsRowFunction="custom" dataDxfId="28" totalsRowDxfId="7">
      <totalsRowFormula>AVERAGE(I2:I9)</totalsRowFormula>
    </tableColumn>
    <tableColumn id="9" xr3:uid="{00000000-0010-0000-0000-000009000000}" name="How would you rate our staff hospitality?" totalsRowFunction="custom" dataDxfId="27" totalsRowDxfId="6">
      <totalsRowFormula>AVERAGE(J2:J9)</totalsRowFormula>
    </tableColumn>
    <tableColumn id="10" xr3:uid="{00000000-0010-0000-0000-00000A000000}" name="Statement 1" dataDxfId="26" totalsRowDxfId="5"/>
    <tableColumn id="11" xr3:uid="{00000000-0010-0000-0000-00000B000000}" name="Statement 12" totalsRowFunction="custom" dataDxfId="25" totalsRowDxfId="4">
      <totalsRowFormula>COUNTIF(Table1[Statement 12], "Agree")</totalsRowFormula>
    </tableColumn>
    <tableColumn id="12" xr3:uid="{00000000-0010-0000-0000-00000C000000}" name="What is you favorite item?" dataDxfId="24" totalsRowDxfId="3"/>
    <tableColumn id="13" xr3:uid="{00000000-0010-0000-0000-00000D000000}" name="What would items could we add add?" dataDxfId="23" totalsRowDxfId="2"/>
    <tableColumn id="14" xr3:uid="{00000000-0010-0000-0000-00000E000000}" name="Would adding a rewards system bring you back more?" totalsRowFunction="custom" dataDxfId="22" totalsRowDxfId="1">
      <totalsRowFormula>COUNTIF(Table1[Would adding a rewards system bring you back more?], "Yes")</totalsRowFormula>
    </tableColumn>
    <tableColumn id="15" xr3:uid="{00000000-0010-0000-0000-00000F000000}" name="How likely are you to recommend us to a friend or colleague?" totalsRowFunction="custom" dataDxfId="21" totalsRowDxfId="0">
      <totalsRowFormula>AVERAGE(P2:P9)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7E7D-0F69-4E30-B0CE-DB81930E8E70}">
  <dimension ref="A3:C9"/>
  <sheetViews>
    <sheetView tabSelected="1" topLeftCell="A2" workbookViewId="0">
      <selection activeCell="N11" sqref="N11"/>
    </sheetView>
  </sheetViews>
  <sheetFormatPr defaultRowHeight="14.4" x14ac:dyDescent="0.3"/>
  <cols>
    <col min="1" max="1" width="20.44140625" bestFit="1" customWidth="1"/>
    <col min="2" max="2" width="48" bestFit="1" customWidth="1"/>
    <col min="3" max="3" width="42.88671875" bestFit="1" customWidth="1"/>
  </cols>
  <sheetData>
    <row r="3" spans="1:3" x14ac:dyDescent="0.3">
      <c r="A3" s="5" t="s">
        <v>58</v>
      </c>
      <c r="B3" t="s">
        <v>56</v>
      </c>
      <c r="C3" t="s">
        <v>57</v>
      </c>
    </row>
    <row r="4" spans="1:3" x14ac:dyDescent="0.3">
      <c r="A4" s="6" t="s">
        <v>29</v>
      </c>
      <c r="B4" s="2">
        <v>14</v>
      </c>
      <c r="C4" s="2">
        <v>15</v>
      </c>
    </row>
    <row r="5" spans="1:3" x14ac:dyDescent="0.3">
      <c r="A5" s="6" t="s">
        <v>17</v>
      </c>
      <c r="B5" s="2">
        <v>4</v>
      </c>
      <c r="C5" s="2">
        <v>3</v>
      </c>
    </row>
    <row r="6" spans="1:3" x14ac:dyDescent="0.3">
      <c r="A6" s="6" t="s">
        <v>35</v>
      </c>
      <c r="B6" s="2">
        <v>5</v>
      </c>
      <c r="C6" s="2">
        <v>2</v>
      </c>
    </row>
    <row r="7" spans="1:3" x14ac:dyDescent="0.3">
      <c r="A7" s="6" t="s">
        <v>43</v>
      </c>
      <c r="B7" s="2">
        <v>9</v>
      </c>
      <c r="C7" s="2">
        <v>10</v>
      </c>
    </row>
    <row r="8" spans="1:3" x14ac:dyDescent="0.3">
      <c r="A8" s="6" t="s">
        <v>25</v>
      </c>
      <c r="B8" s="2">
        <v>4</v>
      </c>
      <c r="C8" s="2">
        <v>5</v>
      </c>
    </row>
    <row r="9" spans="1:3" x14ac:dyDescent="0.3">
      <c r="A9" s="6" t="s">
        <v>59</v>
      </c>
      <c r="B9" s="2">
        <v>36</v>
      </c>
      <c r="C9" s="2">
        <v>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J2" sqref="J2"/>
    </sheetView>
  </sheetViews>
  <sheetFormatPr defaultRowHeight="14.4" x14ac:dyDescent="0.3"/>
  <cols>
    <col min="1" max="1" width="20" bestFit="1" customWidth="1"/>
    <col min="2" max="2" width="20" style="3" bestFit="1" customWidth="1"/>
    <col min="3" max="3" width="20" bestFit="1" customWidth="1"/>
    <col min="4" max="4" width="20" customWidth="1"/>
    <col min="5" max="7" width="20" bestFit="1" customWidth="1"/>
    <col min="8" max="8" width="36.109375" bestFit="1" customWidth="1"/>
    <col min="9" max="16" width="20" bestFit="1" customWidth="1"/>
  </cols>
  <sheetData>
    <row r="1" spans="1:16" x14ac:dyDescent="0.3">
      <c r="A1" t="s">
        <v>0</v>
      </c>
      <c r="B1" s="3" t="s">
        <v>1</v>
      </c>
      <c r="C1" t="s">
        <v>2</v>
      </c>
      <c r="D1" t="s">
        <v>55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s="3">
        <v>46121.581979166702</v>
      </c>
      <c r="C2" s="3">
        <v>46121.582719907397</v>
      </c>
      <c r="D2" s="4">
        <f t="shared" ref="D2:D9" si="0">C2-B2</f>
        <v>7.4074069561902434E-4</v>
      </c>
      <c r="E2" t="s">
        <v>15</v>
      </c>
      <c r="F2" t="s">
        <v>16</v>
      </c>
      <c r="G2" s="1"/>
      <c r="H2" t="s">
        <v>17</v>
      </c>
      <c r="I2">
        <v>4</v>
      </c>
      <c r="J2">
        <v>3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>
        <v>6</v>
      </c>
    </row>
    <row r="3" spans="1:16" x14ac:dyDescent="0.3">
      <c r="A3">
        <v>2</v>
      </c>
      <c r="B3" s="3">
        <v>46121.583611111098</v>
      </c>
      <c r="C3" s="3">
        <v>46121.584502314799</v>
      </c>
      <c r="D3" s="4">
        <f t="shared" si="0"/>
        <v>8.9120370103046298E-4</v>
      </c>
      <c r="E3" t="s">
        <v>23</v>
      </c>
      <c r="F3" t="s">
        <v>24</v>
      </c>
      <c r="G3" s="1"/>
      <c r="H3" t="s">
        <v>25</v>
      </c>
      <c r="I3">
        <v>4</v>
      </c>
      <c r="J3">
        <v>5</v>
      </c>
      <c r="K3" t="s">
        <v>18</v>
      </c>
      <c r="M3" t="s">
        <v>26</v>
      </c>
      <c r="O3" t="s">
        <v>22</v>
      </c>
      <c r="P3">
        <v>8</v>
      </c>
    </row>
    <row r="4" spans="1:16" x14ac:dyDescent="0.3">
      <c r="A4">
        <v>3</v>
      </c>
      <c r="B4" s="3">
        <v>46121.584062499998</v>
      </c>
      <c r="C4" s="3">
        <v>46121.602291666699</v>
      </c>
      <c r="D4" s="4">
        <f t="shared" si="0"/>
        <v>1.8229166700621136E-2</v>
      </c>
      <c r="E4" t="s">
        <v>27</v>
      </c>
      <c r="F4" t="s">
        <v>28</v>
      </c>
      <c r="G4" s="1"/>
      <c r="H4" t="s">
        <v>29</v>
      </c>
      <c r="I4">
        <v>5</v>
      </c>
      <c r="J4">
        <v>5</v>
      </c>
      <c r="K4" t="s">
        <v>18</v>
      </c>
      <c r="L4" t="s">
        <v>30</v>
      </c>
      <c r="M4" t="s">
        <v>31</v>
      </c>
      <c r="N4" t="s">
        <v>32</v>
      </c>
      <c r="O4" t="s">
        <v>22</v>
      </c>
      <c r="P4">
        <v>10</v>
      </c>
    </row>
    <row r="5" spans="1:16" x14ac:dyDescent="0.3">
      <c r="A5">
        <v>4</v>
      </c>
      <c r="B5" s="3">
        <v>46121.602835648097</v>
      </c>
      <c r="C5" s="3">
        <v>46121.603171296301</v>
      </c>
      <c r="D5" s="4">
        <f t="shared" si="0"/>
        <v>3.3564820478204638E-4</v>
      </c>
      <c r="E5" t="s">
        <v>33</v>
      </c>
      <c r="F5" t="s">
        <v>34</v>
      </c>
      <c r="G5" s="1"/>
      <c r="H5" t="s">
        <v>35</v>
      </c>
      <c r="I5">
        <v>5</v>
      </c>
      <c r="J5">
        <v>2</v>
      </c>
      <c r="K5" t="s">
        <v>18</v>
      </c>
      <c r="L5" t="s">
        <v>30</v>
      </c>
      <c r="O5" t="s">
        <v>22</v>
      </c>
    </row>
    <row r="6" spans="1:16" x14ac:dyDescent="0.3">
      <c r="A6">
        <v>5</v>
      </c>
      <c r="B6" s="3">
        <v>46121.641284722202</v>
      </c>
      <c r="C6" s="3">
        <v>46121.644513888903</v>
      </c>
      <c r="D6" s="4">
        <f t="shared" si="0"/>
        <v>3.2291667012032121E-3</v>
      </c>
      <c r="E6" t="s">
        <v>36</v>
      </c>
      <c r="F6" t="s">
        <v>37</v>
      </c>
      <c r="G6" s="1"/>
      <c r="H6" t="s">
        <v>29</v>
      </c>
      <c r="I6">
        <v>5</v>
      </c>
      <c r="J6">
        <v>5</v>
      </c>
      <c r="K6" t="s">
        <v>38</v>
      </c>
      <c r="L6" t="s">
        <v>30</v>
      </c>
      <c r="M6" t="s">
        <v>39</v>
      </c>
      <c r="N6" t="s">
        <v>40</v>
      </c>
      <c r="O6" t="s">
        <v>22</v>
      </c>
      <c r="P6">
        <v>8</v>
      </c>
    </row>
    <row r="7" spans="1:16" x14ac:dyDescent="0.3">
      <c r="A7">
        <v>6</v>
      </c>
      <c r="B7" s="3">
        <v>46121.724016203698</v>
      </c>
      <c r="C7" s="3">
        <v>46121.727951388901</v>
      </c>
      <c r="D7" s="4">
        <f t="shared" si="0"/>
        <v>3.9351852028630674E-3</v>
      </c>
      <c r="E7" t="s">
        <v>41</v>
      </c>
      <c r="F7" t="s">
        <v>42</v>
      </c>
      <c r="G7" s="1"/>
      <c r="H7" t="s">
        <v>43</v>
      </c>
      <c r="I7">
        <v>4</v>
      </c>
      <c r="J7">
        <v>5</v>
      </c>
      <c r="K7" t="s">
        <v>38</v>
      </c>
      <c r="L7" t="s">
        <v>19</v>
      </c>
      <c r="M7" t="s">
        <v>44</v>
      </c>
      <c r="N7" t="s">
        <v>45</v>
      </c>
      <c r="O7" t="s">
        <v>22</v>
      </c>
      <c r="P7">
        <v>7</v>
      </c>
    </row>
    <row r="8" spans="1:16" x14ac:dyDescent="0.3">
      <c r="A8">
        <v>7</v>
      </c>
      <c r="B8" s="3">
        <v>46124.558842592603</v>
      </c>
      <c r="C8" s="3">
        <v>46124.559131944399</v>
      </c>
      <c r="D8" s="4">
        <f t="shared" si="0"/>
        <v>2.8935179580003023E-4</v>
      </c>
      <c r="E8" t="s">
        <v>46</v>
      </c>
      <c r="F8" t="s">
        <v>47</v>
      </c>
      <c r="G8" s="1"/>
      <c r="H8" t="s">
        <v>43</v>
      </c>
      <c r="I8">
        <v>5</v>
      </c>
      <c r="J8">
        <v>5</v>
      </c>
      <c r="K8" t="s">
        <v>48</v>
      </c>
      <c r="L8" t="s">
        <v>49</v>
      </c>
      <c r="N8" t="s">
        <v>50</v>
      </c>
      <c r="O8" t="s">
        <v>22</v>
      </c>
      <c r="P8">
        <v>6</v>
      </c>
    </row>
    <row r="9" spans="1:16" x14ac:dyDescent="0.3">
      <c r="A9">
        <v>8</v>
      </c>
      <c r="B9" s="3">
        <v>46124.749803240702</v>
      </c>
      <c r="C9" s="3">
        <v>46124.750636574099</v>
      </c>
      <c r="D9" s="4">
        <f t="shared" si="0"/>
        <v>8.333333971677348E-4</v>
      </c>
      <c r="E9" t="s">
        <v>51</v>
      </c>
      <c r="F9" t="s">
        <v>52</v>
      </c>
      <c r="G9" s="1"/>
      <c r="H9" t="s">
        <v>29</v>
      </c>
      <c r="I9">
        <v>4</v>
      </c>
      <c r="J9">
        <v>5</v>
      </c>
      <c r="K9" t="s">
        <v>18</v>
      </c>
      <c r="L9" t="s">
        <v>30</v>
      </c>
      <c r="M9" t="s">
        <v>53</v>
      </c>
      <c r="N9" t="s">
        <v>54</v>
      </c>
      <c r="O9" t="s">
        <v>22</v>
      </c>
      <c r="P9">
        <v>9</v>
      </c>
    </row>
    <row r="10" spans="1:16" x14ac:dyDescent="0.3">
      <c r="A10" s="2"/>
      <c r="C10" s="3"/>
      <c r="D10" s="4">
        <f>AVERAGE(D2:D9)</f>
        <v>3.5604745498858392E-3</v>
      </c>
      <c r="E10" s="2"/>
      <c r="F10" s="2"/>
      <c r="G10" s="1"/>
      <c r="H10" s="2"/>
      <c r="I10" s="2">
        <f>AVERAGE(I2:I9)</f>
        <v>4.5</v>
      </c>
      <c r="J10" s="2">
        <f>AVERAGE(J2:J9)</f>
        <v>4.375</v>
      </c>
      <c r="K10" s="2"/>
      <c r="L10" s="2">
        <f>COUNTIF(Table1[Statement 12], "Agree")</f>
        <v>4</v>
      </c>
      <c r="M10" s="2"/>
      <c r="N10" s="2"/>
      <c r="O10" s="2">
        <f>COUNTIF(Table1[Would adding a rewards system bring you back more?], "Yes")</f>
        <v>8</v>
      </c>
      <c r="P10" s="2">
        <f>AVERAGE(P2:P9)</f>
        <v>7.7142857142857144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shaquan bowens</dc:creator>
  <cp:lastModifiedBy>shaquan bowens</cp:lastModifiedBy>
  <dcterms:created xsi:type="dcterms:W3CDTF">2026-04-13T15:02:05Z</dcterms:created>
  <dcterms:modified xsi:type="dcterms:W3CDTF">2026-04-13T15:45:37Z</dcterms:modified>
</cp:coreProperties>
</file>